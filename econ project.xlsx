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ivandelapaz/Downloads/"/>
    </mc:Choice>
  </mc:AlternateContent>
  <xr:revisionPtr revIDLastSave="0" documentId="13_ncr:1_{31B0FB17-1759-614E-920A-1E202B7225AC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cost of replacement " sheetId="1" r:id="rId1"/>
    <sheet name="flood calculations" sheetId="2" r:id="rId2"/>
    <sheet name="payment covered by citizens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E2" i="3"/>
  <c r="E29" i="2"/>
  <c r="E28" i="2"/>
  <c r="I27" i="2"/>
  <c r="G27" i="2"/>
  <c r="E27" i="2"/>
  <c r="E26" i="2"/>
  <c r="E25" i="2"/>
  <c r="E24" i="2"/>
  <c r="N23" i="2"/>
  <c r="I23" i="2"/>
  <c r="H23" i="2"/>
  <c r="E22" i="2"/>
  <c r="E21" i="2"/>
  <c r="E20" i="2"/>
  <c r="E19" i="2"/>
  <c r="E18" i="2"/>
  <c r="E17" i="2"/>
  <c r="N16" i="2"/>
  <c r="I16" i="2"/>
  <c r="H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16" i="1"/>
  <c r="B16" i="1"/>
  <c r="D16" i="1" s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I29" i="2" l="1"/>
  <c r="G29" i="2"/>
  <c r="I28" i="2"/>
  <c r="G28" i="2"/>
  <c r="K27" i="2"/>
  <c r="J27" i="2"/>
  <c r="H27" i="2"/>
  <c r="N27" i="2"/>
  <c r="G26" i="2"/>
  <c r="I26" i="2"/>
  <c r="I25" i="2"/>
  <c r="G25" i="2"/>
  <c r="I24" i="2"/>
  <c r="G24" i="2"/>
  <c r="K23" i="2"/>
  <c r="J23" i="2"/>
  <c r="G22" i="2"/>
  <c r="I22" i="2"/>
  <c r="G21" i="2"/>
  <c r="I21" i="2"/>
  <c r="G20" i="2"/>
  <c r="I20" i="2"/>
  <c r="G19" i="2"/>
  <c r="I19" i="2"/>
  <c r="G18" i="2"/>
  <c r="I18" i="2"/>
  <c r="G17" i="2"/>
  <c r="I17" i="2"/>
  <c r="J16" i="2"/>
  <c r="K16" i="2"/>
  <c r="I15" i="2"/>
  <c r="G15" i="2"/>
  <c r="I14" i="2"/>
  <c r="G14" i="2"/>
  <c r="G13" i="2"/>
  <c r="I13" i="2"/>
  <c r="I12" i="2"/>
  <c r="G12" i="2"/>
  <c r="G11" i="2"/>
  <c r="I11" i="2"/>
  <c r="I10" i="2"/>
  <c r="G10" i="2"/>
  <c r="G9" i="2"/>
  <c r="I9" i="2"/>
  <c r="G8" i="2"/>
  <c r="I8" i="2"/>
  <c r="I7" i="2"/>
  <c r="G7" i="2"/>
  <c r="I6" i="2"/>
  <c r="G6" i="2"/>
  <c r="G5" i="2"/>
  <c r="I5" i="2"/>
  <c r="I4" i="2"/>
  <c r="G4" i="2"/>
  <c r="I3" i="2"/>
  <c r="G3" i="2"/>
  <c r="I2" i="2"/>
  <c r="G2" i="2"/>
  <c r="E16" i="1"/>
  <c r="J29" i="2" l="1"/>
  <c r="K29" i="2"/>
  <c r="H29" i="2"/>
  <c r="N29" i="2"/>
  <c r="J28" i="2"/>
  <c r="K28" i="2"/>
  <c r="H28" i="2"/>
  <c r="N28" i="2"/>
  <c r="L27" i="2"/>
  <c r="M27" i="2"/>
  <c r="O27" i="2"/>
  <c r="H26" i="2"/>
  <c r="N26" i="2"/>
  <c r="J26" i="2"/>
  <c r="K26" i="2"/>
  <c r="J25" i="2"/>
  <c r="K25" i="2"/>
  <c r="H25" i="2"/>
  <c r="N25" i="2"/>
  <c r="J24" i="2"/>
  <c r="K24" i="2"/>
  <c r="H24" i="2"/>
  <c r="N24" i="2"/>
  <c r="L23" i="2"/>
  <c r="O23" i="2"/>
  <c r="H22" i="2"/>
  <c r="N22" i="2"/>
  <c r="J22" i="2"/>
  <c r="K22" i="2"/>
  <c r="H21" i="2"/>
  <c r="N21" i="2"/>
  <c r="J21" i="2"/>
  <c r="K21" i="2"/>
  <c r="H20" i="2"/>
  <c r="N20" i="2"/>
  <c r="J20" i="2"/>
  <c r="K20" i="2"/>
  <c r="H19" i="2"/>
  <c r="N19" i="2"/>
  <c r="J19" i="2"/>
  <c r="K19" i="2"/>
  <c r="H18" i="2"/>
  <c r="N18" i="2"/>
  <c r="J18" i="2"/>
  <c r="K18" i="2"/>
  <c r="H17" i="2"/>
  <c r="N17" i="2"/>
  <c r="J17" i="2"/>
  <c r="K17" i="2"/>
  <c r="L16" i="2"/>
  <c r="O16" i="2"/>
  <c r="J15" i="2"/>
  <c r="K15" i="2"/>
  <c r="H15" i="2"/>
  <c r="N15" i="2"/>
  <c r="J14" i="2"/>
  <c r="K14" i="2"/>
  <c r="H14" i="2"/>
  <c r="N14" i="2"/>
  <c r="H13" i="2"/>
  <c r="N13" i="2"/>
  <c r="J13" i="2"/>
  <c r="K13" i="2"/>
  <c r="J12" i="2"/>
  <c r="K12" i="2"/>
  <c r="H12" i="2"/>
  <c r="N12" i="2"/>
  <c r="H11" i="2"/>
  <c r="N11" i="2"/>
  <c r="J11" i="2"/>
  <c r="K11" i="2"/>
  <c r="J10" i="2"/>
  <c r="K10" i="2"/>
  <c r="H10" i="2"/>
  <c r="N10" i="2"/>
  <c r="H9" i="2"/>
  <c r="N9" i="2"/>
  <c r="J9" i="2"/>
  <c r="K9" i="2"/>
  <c r="H8" i="2"/>
  <c r="N8" i="2"/>
  <c r="J8" i="2"/>
  <c r="K8" i="2"/>
  <c r="J7" i="2"/>
  <c r="K7" i="2"/>
  <c r="H7" i="2"/>
  <c r="N7" i="2"/>
  <c r="J6" i="2"/>
  <c r="K6" i="2"/>
  <c r="H6" i="2"/>
  <c r="N6" i="2"/>
  <c r="N5" i="2"/>
  <c r="H5" i="2"/>
  <c r="J5" i="2"/>
  <c r="K5" i="2"/>
  <c r="J4" i="2"/>
  <c r="K4" i="2"/>
  <c r="H4" i="2"/>
  <c r="N4" i="2"/>
  <c r="J3" i="2"/>
  <c r="K3" i="2"/>
  <c r="H3" i="2"/>
  <c r="N3" i="2"/>
  <c r="J2" i="2"/>
  <c r="K2" i="2"/>
  <c r="I30" i="2"/>
  <c r="K30" i="2" s="1"/>
  <c r="L30" i="2" s="1"/>
  <c r="H2" i="2"/>
  <c r="N2" i="2"/>
  <c r="G30" i="2"/>
  <c r="L29" i="2" l="1"/>
  <c r="M29" i="2"/>
  <c r="O29" i="2"/>
  <c r="L28" i="2"/>
  <c r="M28" i="2"/>
  <c r="O28" i="2"/>
  <c r="L26" i="2"/>
  <c r="M26" i="2"/>
  <c r="O26" i="2"/>
  <c r="L25" i="2"/>
  <c r="M25" i="2"/>
  <c r="O25" i="2"/>
  <c r="L24" i="2"/>
  <c r="M24" i="2"/>
  <c r="O24" i="2"/>
  <c r="L22" i="2"/>
  <c r="M22" i="2"/>
  <c r="O22" i="2"/>
  <c r="L21" i="2"/>
  <c r="M21" i="2"/>
  <c r="O21" i="2"/>
  <c r="L20" i="2"/>
  <c r="M20" i="2"/>
  <c r="O20" i="2"/>
  <c r="L19" i="2"/>
  <c r="M19" i="2"/>
  <c r="O19" i="2"/>
  <c r="L18" i="2"/>
  <c r="M18" i="2"/>
  <c r="O18" i="2"/>
  <c r="L17" i="2"/>
  <c r="M17" i="2"/>
  <c r="O17" i="2"/>
  <c r="L15" i="2"/>
  <c r="M15" i="2"/>
  <c r="O15" i="2"/>
  <c r="L14" i="2"/>
  <c r="M14" i="2"/>
  <c r="O14" i="2"/>
  <c r="L13" i="2"/>
  <c r="M13" i="2"/>
  <c r="O13" i="2"/>
  <c r="L12" i="2"/>
  <c r="M12" i="2"/>
  <c r="O12" i="2"/>
  <c r="L11" i="2"/>
  <c r="M11" i="2"/>
  <c r="O11" i="2"/>
  <c r="L10" i="2"/>
  <c r="M10" i="2"/>
  <c r="O10" i="2"/>
  <c r="L9" i="2"/>
  <c r="M9" i="2"/>
  <c r="O9" i="2"/>
  <c r="L8" i="2"/>
  <c r="M8" i="2"/>
  <c r="O8" i="2"/>
  <c r="L7" i="2"/>
  <c r="M7" i="2"/>
  <c r="O7" i="2"/>
  <c r="L6" i="2"/>
  <c r="M6" i="2"/>
  <c r="O6" i="2"/>
  <c r="L5" i="2"/>
  <c r="M5" i="2"/>
  <c r="O5" i="2"/>
  <c r="M4" i="2"/>
  <c r="O4" i="2"/>
  <c r="L4" i="2"/>
  <c r="L3" i="2"/>
  <c r="M3" i="2"/>
  <c r="O3" i="2"/>
  <c r="L2" i="2"/>
  <c r="M2" i="2"/>
  <c r="O2" i="2"/>
  <c r="H30" i="2"/>
  <c r="N30" i="2"/>
  <c r="O30" i="2" l="1"/>
  <c r="P30" i="2" s="1"/>
</calcChain>
</file>

<file path=xl/sharedStrings.xml><?xml version="1.0" encoding="utf-8"?>
<sst xmlns="http://schemas.openxmlformats.org/spreadsheetml/2006/main" count="105" uniqueCount="60">
  <si>
    <t xml:space="preserve">IMAGE </t>
  </si>
  <si>
    <t>square footage (ft^2)</t>
  </si>
  <si>
    <t xml:space="preserve">cost of taking away </t>
  </si>
  <si>
    <t xml:space="preserve">cost of replacing </t>
  </si>
  <si>
    <t xml:space="preserve">Location 1 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</si>
  <si>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</si>
  <si>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</si>
  <si>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</si>
  <si>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</si>
  <si>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</si>
  <si>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</si>
  <si>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</si>
  <si>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</si>
  <si>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</si>
  <si>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Location 11</t>
  </si>
  <si>
    <t>Location 12</t>
  </si>
  <si>
    <t>Location 13</t>
  </si>
  <si>
    <t>Location 14</t>
  </si>
  <si>
    <t xml:space="preserve">total </t>
  </si>
  <si>
    <t xml:space="preserve">year </t>
  </si>
  <si>
    <t xml:space="preserve">month </t>
  </si>
  <si>
    <t xml:space="preserve">Level of Flood </t>
  </si>
  <si>
    <t xml:space="preserve">Gage height in feet </t>
  </si>
  <si>
    <t>crest level = Overflow Depth</t>
  </si>
  <si>
    <t xml:space="preserve">gage height in feet </t>
  </si>
  <si>
    <t>Flood Volume (cubic feet) = Affected Area( 27,878,400sq ft) × Overflow Depth ( crest level )</t>
  </si>
  <si>
    <t xml:space="preserve">Flood Volume in Gallons=cubic feet × 7.48gallons/cubic foot
</t>
  </si>
  <si>
    <t>Flood Volume on Permeable Pavement ( Cubic feet ) = Permeable Area(3,089,745.25 sqft) × Overflow Depth</t>
  </si>
  <si>
    <t xml:space="preserve">Porous asphalt can infiltrate approximately 75% of rainfall (cubit feet) </t>
  </si>
  <si>
    <t xml:space="preserve">infiltrated water amount in gallons </t>
  </si>
  <si>
    <t xml:space="preserve">percentage of water infiltrated </t>
  </si>
  <si>
    <t xml:space="preserve">The average cost of flooding in Lodi is approximately $18 per cubic foot. </t>
  </si>
  <si>
    <t xml:space="preserve">savings </t>
  </si>
  <si>
    <t xml:space="preserve">January  </t>
  </si>
  <si>
    <t xml:space="preserve">Major Flood </t>
  </si>
  <si>
    <t xml:space="preserve">Minor Flood </t>
  </si>
  <si>
    <t xml:space="preserve">March </t>
  </si>
  <si>
    <t xml:space="preserve">Moderate Flood </t>
  </si>
  <si>
    <t xml:space="preserve">February </t>
  </si>
  <si>
    <t>May</t>
  </si>
  <si>
    <t xml:space="preserve">October </t>
  </si>
  <si>
    <t xml:space="preserve">April </t>
  </si>
  <si>
    <t xml:space="preserve">June </t>
  </si>
  <si>
    <t xml:space="preserve">july </t>
  </si>
  <si>
    <t xml:space="preserve">August </t>
  </si>
  <si>
    <t xml:space="preserve">NONE </t>
  </si>
  <si>
    <t>NONE</t>
  </si>
  <si>
    <t xml:space="preserve">May </t>
  </si>
  <si>
    <t xml:space="preserve">July </t>
  </si>
  <si>
    <t>Area of affected zone covered by Porous Asphalt</t>
  </si>
  <si>
    <t xml:space="preserve">total flood zone </t>
  </si>
  <si>
    <t>sqft</t>
  </si>
  <si>
    <t xml:space="preserve">covered by Porous Asphalt </t>
  </si>
  <si>
    <t xml:space="preserve">population </t>
  </si>
  <si>
    <t xml:space="preserve">percent willing to pay $100 annually </t>
  </si>
  <si>
    <t xml:space="preserve">payment annually </t>
  </si>
  <si>
    <t xml:space="preserve">years </t>
  </si>
  <si>
    <t xml:space="preserve">cost of project </t>
  </si>
  <si>
    <t xml:space="preserve">total given to town </t>
  </si>
  <si>
    <t xml:space="preserve">covers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</si>
</sst>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E456E4"/>
        <bgColor rgb="FFE456E4"/>
      </patternFill>
    </fill>
    <fill>
      <patternFill patternType="solid">
        <fgColor rgb="FFFFFF00"/>
        <bgColor rgb="FFFFFF00"/>
      </patternFill>
    </fill>
    <fill>
      <patternFill patternType="solid">
        <fgColor rgb="FFFF4242"/>
        <bgColor rgb="FFFF4242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4" fontId="1" fillId="0" borderId="1" xfId="0" applyNumberFormat="1" applyFont="1" applyBorder="1"/>
    <xf numFmtId="164" fontId="1" fillId="0" borderId="1" xfId="0" applyNumberFormat="1" applyFont="1" applyBorder="1"/>
    <xf numFmtId="3" fontId="1" fillId="0" borderId="1" xfId="0" applyNumberFormat="1" applyFont="1" applyBorder="1"/>
    <xf numFmtId="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10" fontId="1" fillId="0" borderId="0" xfId="0" applyNumberFormat="1" applyFont="1"/>
    <xf numFmtId="164" fontId="1" fillId="0" borderId="0" xfId="0" applyNumberFormat="1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2" xfId="0" applyFont="1" applyBorder="1"/>
    <xf numFmtId="0" fontId="1" fillId="4" borderId="2" xfId="0" applyFont="1" applyFill="1" applyBorder="1"/>
    <xf numFmtId="4" fontId="1" fillId="0" borderId="2" xfId="0" applyNumberFormat="1" applyFont="1" applyBorder="1"/>
    <xf numFmtId="10" fontId="1" fillId="0" borderId="2" xfId="0" applyNumberFormat="1" applyFont="1" applyBorder="1"/>
    <xf numFmtId="164" fontId="1" fillId="0" borderId="2" xfId="0" applyNumberFormat="1" applyFont="1" applyBorder="1"/>
    <xf numFmtId="0" fontId="3" fillId="9" borderId="0" xfId="0" applyFont="1" applyFill="1" applyAlignment="1">
      <alignment horizontal="left"/>
    </xf>
    <xf numFmtId="0" fontId="4" fillId="0" borderId="0" xfId="0" applyFont="1"/>
    <xf numFmtId="3" fontId="0" fillId="0" borderId="0" xfId="0" applyNumberFormat="1"/>
    <xf numFmtId="10" fontId="4" fillId="0" borderId="0" xfId="0" applyNumberFormat="1" applyFont="1"/>
    <xf numFmtId="0" fontId="1" fillId="8" borderId="0" xfId="0" applyFont="1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FF4242"/>
          <bgColor rgb="FFFF4242"/>
        </patternFill>
      </fill>
    </dxf>
    <dxf>
      <fill>
        <patternFill patternType="solid">
          <fgColor rgb="FFE456E4"/>
          <bgColor rgb="FFE456E4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 black"/>
              </a:defRPr>
            </a:pPr>
            <a:r>
              <a:rPr lang="en-US" b="1">
                <a:solidFill>
                  <a:srgbClr val="757575"/>
                </a:solidFill>
                <a:latin typeface="Arial black"/>
              </a:rPr>
              <a:t>Area of affected zone covered by Porous Asphalt		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DC0-E841-A664-AF69C1BC479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DC0-E841-A664-AF69C1BC4791}"/>
              </c:ext>
            </c:extLst>
          </c:dPt>
          <c:val>
            <c:numRef>
              <c:f>'flood calculations'!$C$35:$C$36</c:f>
              <c:numCache>
                <c:formatCode>#,##0.00</c:formatCode>
                <c:ptCount val="2"/>
                <c:pt idx="0">
                  <c:v>27878400</c:v>
                </c:pt>
                <c:pt idx="1">
                  <c:v>3089745.25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C0-E841-A664-AF69C1BC4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Arial black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A4C2F4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60325</xdr:colOff>
      <xdr:row>31</xdr:row>
      <xdr:rowOff>47625</xdr:rowOff>
    </xdr:from>
    <xdr:ext cx="4171950" cy="25812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23"/>
  <sheetViews>
    <sheetView tabSelected="1" workbookViewId="0"/>
  </sheetViews>
  <sheetFormatPr baseColWidth="10" defaultColWidth="12.6640625" defaultRowHeight="15.75" customHeight="1" x14ac:dyDescent="0.15"/>
  <cols>
    <col min="1" max="1" width="10.1640625" customWidth="1"/>
    <col min="2" max="2" width="16.33203125" customWidth="1"/>
    <col min="3" max="3" width="15.6640625" customWidth="1"/>
    <col min="4" max="4" width="13.6640625" customWidth="1"/>
    <col min="5" max="5" width="15.832031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5.75" customHeight="1" x14ac:dyDescent="0.15">
      <c r="A2" s="1" t="s">
        <v>4</v>
      </c>
      <c r="B2" s="2">
        <v>30712</v>
      </c>
      <c r="C2" s="3">
        <f t="shared" ref="C2:C15" si="0">B2*2</f>
        <v>61424</v>
      </c>
      <c r="D2" s="3">
        <f t="shared" ref="D2:D16" si="1">B2*10</f>
        <v>307120</v>
      </c>
      <c r="E2" s="1"/>
    </row>
    <row r="3" spans="1:5" ht="15.75" customHeight="1" x14ac:dyDescent="0.15">
      <c r="A3" s="1" t="s">
        <v>5</v>
      </c>
      <c r="B3" s="4">
        <v>58917</v>
      </c>
      <c r="C3" s="3">
        <f t="shared" si="0"/>
        <v>117834</v>
      </c>
      <c r="D3" s="3">
        <f t="shared" si="1"/>
        <v>589170</v>
      </c>
      <c r="E3" s="1"/>
    </row>
    <row r="4" spans="1:5" ht="15.75" customHeight="1" x14ac:dyDescent="0.15">
      <c r="A4" s="1" t="s">
        <v>6</v>
      </c>
      <c r="B4" s="4">
        <v>171603</v>
      </c>
      <c r="C4" s="3">
        <f t="shared" si="0"/>
        <v>343206</v>
      </c>
      <c r="D4" s="3">
        <f t="shared" si="1"/>
        <v>1716030</v>
      </c>
      <c r="E4" s="1"/>
    </row>
    <row r="5" spans="1:5" ht="15.75" customHeight="1" x14ac:dyDescent="0.15">
      <c r="A5" s="1" t="s">
        <v>7</v>
      </c>
      <c r="B5" s="4">
        <v>41209</v>
      </c>
      <c r="C5" s="3">
        <f t="shared" si="0"/>
        <v>82418</v>
      </c>
      <c r="D5" s="3">
        <f t="shared" si="1"/>
        <v>412090</v>
      </c>
      <c r="E5" s="1"/>
    </row>
    <row r="6" spans="1:5" ht="15.75" customHeight="1" x14ac:dyDescent="0.15">
      <c r="A6" s="1" t="s">
        <v>8</v>
      </c>
      <c r="B6" s="4">
        <v>193820</v>
      </c>
      <c r="C6" s="3">
        <f t="shared" si="0"/>
        <v>387640</v>
      </c>
      <c r="D6" s="3">
        <f t="shared" si="1"/>
        <v>1938200</v>
      </c>
      <c r="E6" s="1"/>
    </row>
    <row r="7" spans="1:5" ht="15.75" customHeight="1" x14ac:dyDescent="0.15">
      <c r="A7" s="1" t="s">
        <v>9</v>
      </c>
      <c r="B7" s="1">
        <v>229680</v>
      </c>
      <c r="C7" s="3">
        <f t="shared" si="0"/>
        <v>459360</v>
      </c>
      <c r="D7" s="3">
        <f t="shared" si="1"/>
        <v>2296800</v>
      </c>
      <c r="E7" s="1"/>
    </row>
    <row r="8" spans="1:5" ht="15.75" customHeight="1" x14ac:dyDescent="0.15">
      <c r="A8" s="1" t="s">
        <v>10</v>
      </c>
      <c r="B8" s="4">
        <v>250000</v>
      </c>
      <c r="C8" s="3">
        <f t="shared" si="0"/>
        <v>500000</v>
      </c>
      <c r="D8" s="3">
        <f t="shared" si="1"/>
        <v>2500000</v>
      </c>
      <c r="E8" s="1"/>
    </row>
    <row r="9" spans="1:5" ht="15.75" customHeight="1" x14ac:dyDescent="0.15">
      <c r="A9" s="1" t="s">
        <v>11</v>
      </c>
      <c r="B9" s="4">
        <v>531805</v>
      </c>
      <c r="C9" s="3">
        <f t="shared" si="0"/>
        <v>1063610</v>
      </c>
      <c r="D9" s="3">
        <f t="shared" si="1"/>
        <v>5318050</v>
      </c>
      <c r="E9" s="1"/>
    </row>
    <row r="10" spans="1:5" ht="15.75" customHeight="1" x14ac:dyDescent="0.15">
      <c r="A10" s="1" t="s">
        <v>12</v>
      </c>
      <c r="B10" s="4">
        <v>284355</v>
      </c>
      <c r="C10" s="3">
        <f t="shared" si="0"/>
        <v>568710</v>
      </c>
      <c r="D10" s="3">
        <f t="shared" si="1"/>
        <v>2843550</v>
      </c>
      <c r="E10" s="1"/>
    </row>
    <row r="11" spans="1:5" ht="15.75" customHeight="1" x14ac:dyDescent="0.15">
      <c r="A11" s="1" t="s">
        <v>13</v>
      </c>
      <c r="B11" s="4">
        <v>152100</v>
      </c>
      <c r="C11" s="3">
        <f t="shared" si="0"/>
        <v>304200</v>
      </c>
      <c r="D11" s="3">
        <f t="shared" si="1"/>
        <v>1521000</v>
      </c>
      <c r="E11" s="1"/>
    </row>
    <row r="12" spans="1:5" ht="15.75" customHeight="1" x14ac:dyDescent="0.15">
      <c r="A12" s="1" t="s">
        <v>14</v>
      </c>
      <c r="B12" s="4">
        <v>93177</v>
      </c>
      <c r="C12" s="3">
        <f t="shared" si="0"/>
        <v>186354</v>
      </c>
      <c r="D12" s="3">
        <f t="shared" si="1"/>
        <v>931770</v>
      </c>
      <c r="E12" s="1"/>
    </row>
    <row r="13" spans="1:5" ht="15.75" customHeight="1" x14ac:dyDescent="0.15">
      <c r="A13" s="1" t="s">
        <v>15</v>
      </c>
      <c r="B13" s="4">
        <v>110390</v>
      </c>
      <c r="C13" s="3">
        <f t="shared" si="0"/>
        <v>220780</v>
      </c>
      <c r="D13" s="3">
        <f t="shared" si="1"/>
        <v>1103900</v>
      </c>
      <c r="E13" s="1"/>
    </row>
    <row r="14" spans="1:5" ht="15.75" customHeight="1" x14ac:dyDescent="0.15">
      <c r="A14" s="1" t="s">
        <v>16</v>
      </c>
      <c r="B14" s="4">
        <v>870955</v>
      </c>
      <c r="C14" s="3">
        <f t="shared" si="0"/>
        <v>1741910</v>
      </c>
      <c r="D14" s="3">
        <f t="shared" si="1"/>
        <v>8709550</v>
      </c>
      <c r="E14" s="1"/>
    </row>
    <row r="15" spans="1:5" ht="15.75" customHeight="1" x14ac:dyDescent="0.15">
      <c r="A15" s="1" t="s">
        <v>17</v>
      </c>
      <c r="B15" s="1">
        <v>71022.25</v>
      </c>
      <c r="C15" s="3">
        <f t="shared" si="0"/>
        <v>142044.5</v>
      </c>
      <c r="D15" s="3">
        <f t="shared" si="1"/>
        <v>710222.5</v>
      </c>
      <c r="E15" s="1"/>
    </row>
    <row r="16" spans="1:5" ht="15.75" customHeight="1" x14ac:dyDescent="0.15">
      <c r="A16" s="1" t="s">
        <v>18</v>
      </c>
      <c r="B16" s="2">
        <f t="shared" ref="B16:C16" si="2">SUM(B2:B15)</f>
        <v>3089745.25</v>
      </c>
      <c r="C16" s="3">
        <f t="shared" si="2"/>
        <v>6179490.5</v>
      </c>
      <c r="D16" s="3">
        <f t="shared" si="1"/>
        <v>30897452.5</v>
      </c>
      <c r="E16" s="3">
        <f>C16+D16</f>
        <v>37076943</v>
      </c>
    </row>
    <row r="23" spans="4:4" ht="15.75" customHeight="1" x14ac:dyDescent="0.15">
      <c r="D23" s="5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61"/>
  <sheetViews>
    <sheetView topLeftCell="M1" workbookViewId="0"/>
  </sheetViews>
  <sheetFormatPr baseColWidth="10" defaultColWidth="12.6640625" defaultRowHeight="15.75" customHeight="1" x14ac:dyDescent="0.15"/>
  <cols>
    <col min="1" max="1" width="8.6640625" customWidth="1"/>
    <col min="2" max="2" width="10.6640625" customWidth="1"/>
    <col min="3" max="3" width="15.1640625" customWidth="1"/>
    <col min="4" max="4" width="13.5" customWidth="1"/>
    <col min="6" max="6" width="15.1640625" customWidth="1"/>
    <col min="7" max="7" width="28.6640625" customWidth="1"/>
    <col min="8" max="8" width="40.6640625" customWidth="1"/>
    <col min="9" max="9" width="34" customWidth="1"/>
    <col min="10" max="10" width="23.83203125" customWidth="1"/>
    <col min="11" max="11" width="16.83203125" customWidth="1"/>
    <col min="12" max="12" width="17.83203125" customWidth="1"/>
    <col min="13" max="13" width="16.83203125" customWidth="1"/>
    <col min="14" max="14" width="25.83203125" customWidth="1"/>
    <col min="15" max="15" width="18.5" customWidth="1"/>
  </cols>
  <sheetData>
    <row r="1" spans="1:15" ht="58.5" customHeight="1" x14ac:dyDescent="0.15">
      <c r="A1" s="6" t="s">
        <v>19</v>
      </c>
      <c r="B1" s="6" t="s">
        <v>20</v>
      </c>
      <c r="C1" s="6" t="s">
        <v>21</v>
      </c>
      <c r="D1" s="7" t="s">
        <v>22</v>
      </c>
      <c r="E1" s="7" t="s">
        <v>23</v>
      </c>
      <c r="F1" s="6" t="s">
        <v>24</v>
      </c>
      <c r="G1" s="7" t="s">
        <v>25</v>
      </c>
      <c r="H1" s="7" t="s">
        <v>26</v>
      </c>
      <c r="I1" s="7" t="s">
        <v>27</v>
      </c>
      <c r="J1" s="7" t="s">
        <v>26</v>
      </c>
      <c r="K1" s="7" t="s">
        <v>28</v>
      </c>
      <c r="L1" s="7" t="s">
        <v>29</v>
      </c>
      <c r="M1" s="7" t="s">
        <v>30</v>
      </c>
      <c r="N1" s="8" t="s">
        <v>31</v>
      </c>
      <c r="O1" s="6" t="s">
        <v>32</v>
      </c>
    </row>
    <row r="2" spans="1:15" ht="13" x14ac:dyDescent="0.15">
      <c r="A2" s="9">
        <v>2024</v>
      </c>
      <c r="B2" s="6" t="s">
        <v>33</v>
      </c>
      <c r="C2" s="10" t="s">
        <v>34</v>
      </c>
      <c r="D2" s="6">
        <v>10.1</v>
      </c>
      <c r="E2" s="6">
        <f t="shared" ref="E2:E15" si="0">F2-5.5</f>
        <v>4.5999999999999996</v>
      </c>
      <c r="F2" s="6">
        <v>10.1</v>
      </c>
      <c r="G2" s="5">
        <f t="shared" ref="G2:G15" si="1">E2*27878400</f>
        <v>128240639.99999999</v>
      </c>
      <c r="H2" s="5">
        <f t="shared" ref="H2:H29" si="2">G2*7.48</f>
        <v>959239987.19999993</v>
      </c>
      <c r="I2" s="5">
        <f t="shared" ref="I2:I29" si="3">E2*3089745.25</f>
        <v>14212828.149999999</v>
      </c>
      <c r="J2" s="5">
        <f t="shared" ref="J2:J29" si="4">I2*7.48</f>
        <v>106311954.56199999</v>
      </c>
      <c r="K2" s="5">
        <f t="shared" ref="K2:K30" si="5">I2*0.75</f>
        <v>10659621.112499999</v>
      </c>
      <c r="L2" s="5">
        <f t="shared" ref="L2:L30" si="6">K2*7.48</f>
        <v>79733965.921499997</v>
      </c>
      <c r="M2" s="11">
        <f t="shared" ref="M2:M15" si="7">K2/G2</f>
        <v>8.3122020542785807E-2</v>
      </c>
      <c r="N2" s="12">
        <f t="shared" ref="N2:N29" si="8">G2*18</f>
        <v>2308331519.9999995</v>
      </c>
      <c r="O2" s="12">
        <f t="shared" ref="O2:O29" si="9">K2*18</f>
        <v>191873180.02499998</v>
      </c>
    </row>
    <row r="3" spans="1:15" ht="13" x14ac:dyDescent="0.15">
      <c r="A3" s="9">
        <v>2024</v>
      </c>
      <c r="B3" s="6" t="s">
        <v>33</v>
      </c>
      <c r="C3" s="13" t="s">
        <v>35</v>
      </c>
      <c r="D3" s="6">
        <v>6</v>
      </c>
      <c r="E3" s="6">
        <f t="shared" si="0"/>
        <v>0.5</v>
      </c>
      <c r="F3" s="6">
        <v>6</v>
      </c>
      <c r="G3" s="5">
        <f t="shared" si="1"/>
        <v>13939200</v>
      </c>
      <c r="H3" s="5">
        <f t="shared" si="2"/>
        <v>104265216</v>
      </c>
      <c r="I3" s="5">
        <f t="shared" si="3"/>
        <v>1544872.625</v>
      </c>
      <c r="J3" s="5">
        <f t="shared" si="4"/>
        <v>11555647.235000001</v>
      </c>
      <c r="K3" s="5">
        <f t="shared" si="5"/>
        <v>1158654.46875</v>
      </c>
      <c r="L3" s="5">
        <f t="shared" si="6"/>
        <v>8666735.4262500014</v>
      </c>
      <c r="M3" s="11">
        <f t="shared" si="7"/>
        <v>8.3122020542785807E-2</v>
      </c>
      <c r="N3" s="12">
        <f t="shared" si="8"/>
        <v>250905600</v>
      </c>
      <c r="O3" s="12">
        <f t="shared" si="9"/>
        <v>20855780.4375</v>
      </c>
    </row>
    <row r="4" spans="1:15" ht="13" x14ac:dyDescent="0.15">
      <c r="A4" s="9">
        <v>2024</v>
      </c>
      <c r="B4" s="6" t="s">
        <v>33</v>
      </c>
      <c r="C4" s="10" t="s">
        <v>34</v>
      </c>
      <c r="D4" s="6">
        <v>10.199999999999999</v>
      </c>
      <c r="E4" s="6">
        <f t="shared" si="0"/>
        <v>4.6999999999999993</v>
      </c>
      <c r="F4" s="6">
        <v>10.199999999999999</v>
      </c>
      <c r="G4" s="5">
        <f t="shared" si="1"/>
        <v>131028479.99999999</v>
      </c>
      <c r="H4" s="5">
        <f t="shared" si="2"/>
        <v>980093030.39999998</v>
      </c>
      <c r="I4" s="5">
        <f t="shared" si="3"/>
        <v>14521802.674999997</v>
      </c>
      <c r="J4" s="5">
        <f t="shared" si="4"/>
        <v>108623084.00899999</v>
      </c>
      <c r="K4" s="5">
        <f t="shared" si="5"/>
        <v>10891352.006249998</v>
      </c>
      <c r="L4" s="5">
        <f t="shared" si="6"/>
        <v>81467313.006749988</v>
      </c>
      <c r="M4" s="11">
        <f t="shared" si="7"/>
        <v>8.3122020542785807E-2</v>
      </c>
      <c r="N4" s="12">
        <f t="shared" si="8"/>
        <v>2358512639.9999995</v>
      </c>
      <c r="O4" s="12">
        <f t="shared" si="9"/>
        <v>196044336.11249995</v>
      </c>
    </row>
    <row r="5" spans="1:15" ht="13" x14ac:dyDescent="0.15">
      <c r="A5" s="9">
        <v>2024</v>
      </c>
      <c r="B5" s="6" t="s">
        <v>36</v>
      </c>
      <c r="C5" s="14" t="s">
        <v>37</v>
      </c>
      <c r="D5" s="6">
        <v>7.1</v>
      </c>
      <c r="E5" s="6">
        <f t="shared" si="0"/>
        <v>1.5999999999999996</v>
      </c>
      <c r="F5" s="6">
        <v>7.1</v>
      </c>
      <c r="G5" s="5">
        <f t="shared" si="1"/>
        <v>44605439.999999993</v>
      </c>
      <c r="H5" s="5">
        <f t="shared" si="2"/>
        <v>333648691.19999999</v>
      </c>
      <c r="I5" s="5">
        <f t="shared" si="3"/>
        <v>4943592.3999999985</v>
      </c>
      <c r="J5" s="5">
        <f t="shared" si="4"/>
        <v>36978071.151999988</v>
      </c>
      <c r="K5" s="5">
        <f t="shared" si="5"/>
        <v>3707694.2999999989</v>
      </c>
      <c r="L5" s="5">
        <f t="shared" si="6"/>
        <v>27733553.363999993</v>
      </c>
      <c r="M5" s="11">
        <f t="shared" si="7"/>
        <v>8.3122020542785807E-2</v>
      </c>
      <c r="N5" s="12">
        <f t="shared" si="8"/>
        <v>802897919.99999988</v>
      </c>
      <c r="O5" s="12">
        <f t="shared" si="9"/>
        <v>66738497.399999976</v>
      </c>
    </row>
    <row r="6" spans="1:15" ht="13" x14ac:dyDescent="0.15">
      <c r="A6" s="9">
        <v>2024</v>
      </c>
      <c r="B6" s="6" t="s">
        <v>36</v>
      </c>
      <c r="C6" s="13" t="s">
        <v>35</v>
      </c>
      <c r="D6" s="6">
        <v>6.8</v>
      </c>
      <c r="E6" s="6">
        <f t="shared" si="0"/>
        <v>1.2999999999999998</v>
      </c>
      <c r="F6" s="6">
        <v>6.8</v>
      </c>
      <c r="G6" s="5">
        <f t="shared" si="1"/>
        <v>36241919.999999993</v>
      </c>
      <c r="H6" s="5">
        <f t="shared" si="2"/>
        <v>271089561.59999996</v>
      </c>
      <c r="I6" s="5">
        <f t="shared" si="3"/>
        <v>4016668.8249999993</v>
      </c>
      <c r="J6" s="5">
        <f t="shared" si="4"/>
        <v>30044682.810999997</v>
      </c>
      <c r="K6" s="5">
        <f t="shared" si="5"/>
        <v>3012501.6187499994</v>
      </c>
      <c r="L6" s="5">
        <f t="shared" si="6"/>
        <v>22533512.108249996</v>
      </c>
      <c r="M6" s="11">
        <f t="shared" si="7"/>
        <v>8.3122020542785821E-2</v>
      </c>
      <c r="N6" s="12">
        <f t="shared" si="8"/>
        <v>652354559.99999988</v>
      </c>
      <c r="O6" s="12">
        <f t="shared" si="9"/>
        <v>54225029.137499988</v>
      </c>
    </row>
    <row r="7" spans="1:15" ht="13" x14ac:dyDescent="0.15">
      <c r="A7" s="15">
        <v>2023</v>
      </c>
      <c r="B7" s="6" t="s">
        <v>33</v>
      </c>
      <c r="C7" s="13" t="s">
        <v>35</v>
      </c>
      <c r="D7" s="6">
        <v>6.4</v>
      </c>
      <c r="E7" s="6">
        <f t="shared" si="0"/>
        <v>0.90000000000000036</v>
      </c>
      <c r="F7" s="6">
        <v>6.4</v>
      </c>
      <c r="G7" s="5">
        <f t="shared" si="1"/>
        <v>25090560.000000011</v>
      </c>
      <c r="H7" s="5">
        <f t="shared" si="2"/>
        <v>187677388.8000001</v>
      </c>
      <c r="I7" s="5">
        <f t="shared" si="3"/>
        <v>2780770.725000001</v>
      </c>
      <c r="J7" s="5">
        <f t="shared" si="4"/>
        <v>20800165.023000009</v>
      </c>
      <c r="K7" s="5">
        <f t="shared" si="5"/>
        <v>2085578.0437500007</v>
      </c>
      <c r="L7" s="5">
        <f t="shared" si="6"/>
        <v>15600123.767250005</v>
      </c>
      <c r="M7" s="11">
        <f t="shared" si="7"/>
        <v>8.3122020542785807E-2</v>
      </c>
      <c r="N7" s="12">
        <f t="shared" si="8"/>
        <v>451630080.00000018</v>
      </c>
      <c r="O7" s="12">
        <f t="shared" si="9"/>
        <v>37540404.787500009</v>
      </c>
    </row>
    <row r="8" spans="1:15" ht="13" x14ac:dyDescent="0.15">
      <c r="A8" s="15">
        <v>2023</v>
      </c>
      <c r="B8" s="6" t="s">
        <v>38</v>
      </c>
      <c r="C8" s="13" t="s">
        <v>35</v>
      </c>
      <c r="D8" s="6">
        <v>6.4</v>
      </c>
      <c r="E8" s="6">
        <f t="shared" si="0"/>
        <v>0.90000000000000036</v>
      </c>
      <c r="F8" s="6">
        <v>6.4</v>
      </c>
      <c r="G8" s="5">
        <f t="shared" si="1"/>
        <v>25090560.000000011</v>
      </c>
      <c r="H8" s="5">
        <f t="shared" si="2"/>
        <v>187677388.8000001</v>
      </c>
      <c r="I8" s="5">
        <f t="shared" si="3"/>
        <v>2780770.725000001</v>
      </c>
      <c r="J8" s="5">
        <f t="shared" si="4"/>
        <v>20800165.023000009</v>
      </c>
      <c r="K8" s="5">
        <f t="shared" si="5"/>
        <v>2085578.0437500007</v>
      </c>
      <c r="L8" s="5">
        <f t="shared" si="6"/>
        <v>15600123.767250005</v>
      </c>
      <c r="M8" s="11">
        <f t="shared" si="7"/>
        <v>8.3122020542785807E-2</v>
      </c>
      <c r="N8" s="12">
        <f t="shared" si="8"/>
        <v>451630080.00000018</v>
      </c>
      <c r="O8" s="12">
        <f t="shared" si="9"/>
        <v>37540404.787500009</v>
      </c>
    </row>
    <row r="9" spans="1:15" ht="13" x14ac:dyDescent="0.15">
      <c r="A9" s="15">
        <v>2023</v>
      </c>
      <c r="B9" s="6" t="s">
        <v>39</v>
      </c>
      <c r="C9" s="13" t="s">
        <v>35</v>
      </c>
      <c r="D9" s="6">
        <v>6.5</v>
      </c>
      <c r="E9" s="6">
        <f t="shared" si="0"/>
        <v>1</v>
      </c>
      <c r="F9" s="6">
        <v>6.5</v>
      </c>
      <c r="G9" s="5">
        <f t="shared" si="1"/>
        <v>27878400</v>
      </c>
      <c r="H9" s="5">
        <f t="shared" si="2"/>
        <v>208530432</v>
      </c>
      <c r="I9" s="5">
        <f t="shared" si="3"/>
        <v>3089745.25</v>
      </c>
      <c r="J9" s="5">
        <f t="shared" si="4"/>
        <v>23111294.470000003</v>
      </c>
      <c r="K9" s="5">
        <f t="shared" si="5"/>
        <v>2317308.9375</v>
      </c>
      <c r="L9" s="5">
        <f t="shared" si="6"/>
        <v>17333470.852500003</v>
      </c>
      <c r="M9" s="11">
        <f t="shared" si="7"/>
        <v>8.3122020542785807E-2</v>
      </c>
      <c r="N9" s="12">
        <f t="shared" si="8"/>
        <v>501811200</v>
      </c>
      <c r="O9" s="12">
        <f t="shared" si="9"/>
        <v>41711560.875</v>
      </c>
    </row>
    <row r="10" spans="1:15" ht="13" x14ac:dyDescent="0.15">
      <c r="A10" s="15">
        <v>2023</v>
      </c>
      <c r="B10" s="6" t="s">
        <v>40</v>
      </c>
      <c r="C10" s="10" t="s">
        <v>34</v>
      </c>
      <c r="D10" s="6">
        <v>8</v>
      </c>
      <c r="E10" s="6">
        <f t="shared" si="0"/>
        <v>2.5</v>
      </c>
      <c r="F10" s="6">
        <v>8</v>
      </c>
      <c r="G10" s="5">
        <f t="shared" si="1"/>
        <v>69696000</v>
      </c>
      <c r="H10" s="5">
        <f t="shared" si="2"/>
        <v>521326080</v>
      </c>
      <c r="I10" s="5">
        <f t="shared" si="3"/>
        <v>7724363.125</v>
      </c>
      <c r="J10" s="5">
        <f t="shared" si="4"/>
        <v>57778236.175000004</v>
      </c>
      <c r="K10" s="5">
        <f t="shared" si="5"/>
        <v>5793272.34375</v>
      </c>
      <c r="L10" s="5">
        <f t="shared" si="6"/>
        <v>43333677.131250001</v>
      </c>
      <c r="M10" s="11">
        <f t="shared" si="7"/>
        <v>8.3122020542785807E-2</v>
      </c>
      <c r="N10" s="12">
        <f t="shared" si="8"/>
        <v>1254528000</v>
      </c>
      <c r="O10" s="12">
        <f t="shared" si="9"/>
        <v>104278902.1875</v>
      </c>
    </row>
    <row r="11" spans="1:15" ht="13" x14ac:dyDescent="0.15">
      <c r="A11" s="16">
        <v>2022</v>
      </c>
      <c r="B11" s="6" t="s">
        <v>41</v>
      </c>
      <c r="C11" s="10" t="s">
        <v>34</v>
      </c>
      <c r="D11" s="6">
        <v>8.9</v>
      </c>
      <c r="E11" s="6">
        <f t="shared" si="0"/>
        <v>3.4000000000000004</v>
      </c>
      <c r="F11" s="6">
        <v>8.9</v>
      </c>
      <c r="G11" s="5">
        <f t="shared" si="1"/>
        <v>94786560.000000015</v>
      </c>
      <c r="H11" s="5">
        <f t="shared" si="2"/>
        <v>709003468.80000019</v>
      </c>
      <c r="I11" s="5">
        <f t="shared" si="3"/>
        <v>10505133.850000001</v>
      </c>
      <c r="J11" s="5">
        <f t="shared" si="4"/>
        <v>78578401.198000014</v>
      </c>
      <c r="K11" s="5">
        <f t="shared" si="5"/>
        <v>7878850.3875000011</v>
      </c>
      <c r="L11" s="5">
        <f t="shared" si="6"/>
        <v>58933800.89850001</v>
      </c>
      <c r="M11" s="11">
        <f t="shared" si="7"/>
        <v>8.3122020542785807E-2</v>
      </c>
      <c r="N11" s="12">
        <f t="shared" si="8"/>
        <v>1706158080.0000002</v>
      </c>
      <c r="O11" s="12">
        <f t="shared" si="9"/>
        <v>141819306.97500002</v>
      </c>
    </row>
    <row r="12" spans="1:15" ht="13" x14ac:dyDescent="0.15">
      <c r="A12" s="16">
        <v>2022</v>
      </c>
      <c r="B12" s="6" t="s">
        <v>42</v>
      </c>
      <c r="C12" s="13" t="s">
        <v>35</v>
      </c>
      <c r="D12" s="6">
        <v>5.6</v>
      </c>
      <c r="E12" s="6">
        <f t="shared" si="0"/>
        <v>9.9999999999999645E-2</v>
      </c>
      <c r="F12" s="6">
        <v>5.6</v>
      </c>
      <c r="G12" s="5">
        <f t="shared" si="1"/>
        <v>2787839.9999999902</v>
      </c>
      <c r="H12" s="5">
        <f t="shared" si="2"/>
        <v>20853043.199999928</v>
      </c>
      <c r="I12" s="5">
        <f t="shared" si="3"/>
        <v>308974.52499999892</v>
      </c>
      <c r="J12" s="5">
        <f t="shared" si="4"/>
        <v>2311129.4469999922</v>
      </c>
      <c r="K12" s="5">
        <f t="shared" si="5"/>
        <v>231730.89374999917</v>
      </c>
      <c r="L12" s="5">
        <f t="shared" si="6"/>
        <v>1733347.085249994</v>
      </c>
      <c r="M12" s="11">
        <f t="shared" si="7"/>
        <v>8.3122020542785807E-2</v>
      </c>
      <c r="N12" s="12">
        <f t="shared" si="8"/>
        <v>50181119.999999821</v>
      </c>
      <c r="O12" s="12">
        <f t="shared" si="9"/>
        <v>4171156.087499985</v>
      </c>
    </row>
    <row r="13" spans="1:15" ht="13" x14ac:dyDescent="0.15">
      <c r="A13" s="6">
        <v>2021</v>
      </c>
      <c r="B13" s="6" t="s">
        <v>43</v>
      </c>
      <c r="C13" s="13" t="s">
        <v>35</v>
      </c>
      <c r="D13" s="6">
        <v>5.7</v>
      </c>
      <c r="E13" s="6">
        <f t="shared" si="0"/>
        <v>0.20000000000000018</v>
      </c>
      <c r="F13" s="6">
        <v>5.7</v>
      </c>
      <c r="G13" s="5">
        <f t="shared" si="1"/>
        <v>5575680.0000000047</v>
      </c>
      <c r="H13" s="5">
        <f t="shared" si="2"/>
        <v>41706086.400000036</v>
      </c>
      <c r="I13" s="5">
        <f t="shared" si="3"/>
        <v>617949.05000000051</v>
      </c>
      <c r="J13" s="5">
        <f t="shared" si="4"/>
        <v>4622258.894000004</v>
      </c>
      <c r="K13" s="5">
        <f t="shared" si="5"/>
        <v>463461.78750000038</v>
      </c>
      <c r="L13" s="5">
        <f t="shared" si="6"/>
        <v>3466694.1705000033</v>
      </c>
      <c r="M13" s="11">
        <f t="shared" si="7"/>
        <v>8.3122020542785807E-2</v>
      </c>
      <c r="N13" s="12">
        <f t="shared" si="8"/>
        <v>100362240.00000009</v>
      </c>
      <c r="O13" s="12">
        <f t="shared" si="9"/>
        <v>8342312.1750000073</v>
      </c>
    </row>
    <row r="14" spans="1:15" ht="13" x14ac:dyDescent="0.15">
      <c r="A14" s="6">
        <v>2021</v>
      </c>
      <c r="B14" s="6" t="s">
        <v>44</v>
      </c>
      <c r="C14" s="14" t="s">
        <v>37</v>
      </c>
      <c r="D14" s="6">
        <v>7.5</v>
      </c>
      <c r="E14" s="6">
        <f t="shared" si="0"/>
        <v>2</v>
      </c>
      <c r="F14" s="6">
        <v>7.5</v>
      </c>
      <c r="G14" s="5">
        <f t="shared" si="1"/>
        <v>55756800</v>
      </c>
      <c r="H14" s="5">
        <f t="shared" si="2"/>
        <v>417060864</v>
      </c>
      <c r="I14" s="5">
        <f t="shared" si="3"/>
        <v>6179490.5</v>
      </c>
      <c r="J14" s="5">
        <f t="shared" si="4"/>
        <v>46222588.940000005</v>
      </c>
      <c r="K14" s="5">
        <f t="shared" si="5"/>
        <v>4634617.875</v>
      </c>
      <c r="L14" s="5">
        <f t="shared" si="6"/>
        <v>34666941.705000006</v>
      </c>
      <c r="M14" s="11">
        <f t="shared" si="7"/>
        <v>8.3122020542785807E-2</v>
      </c>
      <c r="N14" s="12">
        <f t="shared" si="8"/>
        <v>1003622400</v>
      </c>
      <c r="O14" s="12">
        <f t="shared" si="9"/>
        <v>83423121.75</v>
      </c>
    </row>
    <row r="15" spans="1:15" ht="13" x14ac:dyDescent="0.15">
      <c r="A15" s="6">
        <v>2021</v>
      </c>
      <c r="B15" s="6" t="s">
        <v>44</v>
      </c>
      <c r="C15" s="10" t="s">
        <v>34</v>
      </c>
      <c r="D15" s="6">
        <v>12.2</v>
      </c>
      <c r="E15" s="6">
        <f t="shared" si="0"/>
        <v>6.6999999999999993</v>
      </c>
      <c r="F15" s="6">
        <v>12.2</v>
      </c>
      <c r="G15" s="5">
        <f t="shared" si="1"/>
        <v>186785279.99999997</v>
      </c>
      <c r="H15" s="5">
        <f t="shared" si="2"/>
        <v>1397153894.3999999</v>
      </c>
      <c r="I15" s="5">
        <f t="shared" si="3"/>
        <v>20701293.174999997</v>
      </c>
      <c r="J15" s="5">
        <f t="shared" si="4"/>
        <v>154845672.949</v>
      </c>
      <c r="K15" s="5">
        <f t="shared" si="5"/>
        <v>15525969.881249998</v>
      </c>
      <c r="L15" s="5">
        <f t="shared" si="6"/>
        <v>116134254.71174999</v>
      </c>
      <c r="M15" s="11">
        <f t="shared" si="7"/>
        <v>8.3122020542785807E-2</v>
      </c>
      <c r="N15" s="12">
        <f t="shared" si="8"/>
        <v>3362135039.9999995</v>
      </c>
      <c r="O15" s="12">
        <f t="shared" si="9"/>
        <v>279467457.86249995</v>
      </c>
    </row>
    <row r="16" spans="1:15" ht="13" x14ac:dyDescent="0.15">
      <c r="A16" s="6">
        <v>2020</v>
      </c>
      <c r="B16" s="6" t="s">
        <v>45</v>
      </c>
      <c r="D16" s="6" t="s">
        <v>46</v>
      </c>
      <c r="F16" s="6" t="s">
        <v>46</v>
      </c>
      <c r="G16" s="5"/>
      <c r="H16" s="5">
        <f t="shared" si="2"/>
        <v>0</v>
      </c>
      <c r="I16" s="5">
        <f t="shared" si="3"/>
        <v>0</v>
      </c>
      <c r="J16" s="5">
        <f t="shared" si="4"/>
        <v>0</v>
      </c>
      <c r="K16" s="5">
        <f t="shared" si="5"/>
        <v>0</v>
      </c>
      <c r="L16" s="5">
        <f t="shared" si="6"/>
        <v>0</v>
      </c>
      <c r="M16" s="11"/>
      <c r="N16" s="12">
        <f t="shared" si="8"/>
        <v>0</v>
      </c>
      <c r="O16" s="12">
        <f t="shared" si="9"/>
        <v>0</v>
      </c>
    </row>
    <row r="17" spans="1:16" ht="13" x14ac:dyDescent="0.15">
      <c r="A17" s="6">
        <v>2019</v>
      </c>
      <c r="B17" s="6" t="s">
        <v>38</v>
      </c>
      <c r="C17" s="13" t="s">
        <v>35</v>
      </c>
      <c r="D17" s="6">
        <v>5.6</v>
      </c>
      <c r="E17" s="6">
        <f t="shared" ref="E17:E22" si="10">F17-5.5</f>
        <v>9.9999999999999645E-2</v>
      </c>
      <c r="F17" s="6">
        <v>5.6</v>
      </c>
      <c r="G17" s="5">
        <f t="shared" ref="G17:G22" si="11">E17*27878400</f>
        <v>2787839.9999999902</v>
      </c>
      <c r="H17" s="5">
        <f t="shared" si="2"/>
        <v>20853043.199999928</v>
      </c>
      <c r="I17" s="5">
        <f t="shared" si="3"/>
        <v>308974.52499999892</v>
      </c>
      <c r="J17" s="5">
        <f t="shared" si="4"/>
        <v>2311129.4469999922</v>
      </c>
      <c r="K17" s="5">
        <f t="shared" si="5"/>
        <v>231730.89374999917</v>
      </c>
      <c r="L17" s="5">
        <f t="shared" si="6"/>
        <v>1733347.085249994</v>
      </c>
      <c r="M17" s="11">
        <f t="shared" ref="M17:M22" si="12">K17/G17</f>
        <v>8.3122020542785807E-2</v>
      </c>
      <c r="N17" s="12">
        <f t="shared" si="8"/>
        <v>50181119.999999821</v>
      </c>
      <c r="O17" s="12">
        <f t="shared" si="9"/>
        <v>4171156.087499985</v>
      </c>
    </row>
    <row r="18" spans="1:16" ht="13" x14ac:dyDescent="0.15">
      <c r="A18" s="6">
        <v>2019</v>
      </c>
      <c r="B18" s="6" t="s">
        <v>44</v>
      </c>
      <c r="C18" s="13" t="s">
        <v>35</v>
      </c>
      <c r="D18" s="6">
        <v>5.7</v>
      </c>
      <c r="E18" s="6">
        <f t="shared" si="10"/>
        <v>0.20000000000000018</v>
      </c>
      <c r="F18" s="6">
        <v>5.7</v>
      </c>
      <c r="G18" s="5">
        <f t="shared" si="11"/>
        <v>5575680.0000000047</v>
      </c>
      <c r="H18" s="5">
        <f t="shared" si="2"/>
        <v>41706086.400000036</v>
      </c>
      <c r="I18" s="5">
        <f t="shared" si="3"/>
        <v>617949.05000000051</v>
      </c>
      <c r="J18" s="5">
        <f t="shared" si="4"/>
        <v>4622258.894000004</v>
      </c>
      <c r="K18" s="5">
        <f t="shared" si="5"/>
        <v>463461.78750000038</v>
      </c>
      <c r="L18" s="5">
        <f t="shared" si="6"/>
        <v>3466694.1705000033</v>
      </c>
      <c r="M18" s="11">
        <f t="shared" si="12"/>
        <v>8.3122020542785807E-2</v>
      </c>
      <c r="N18" s="12">
        <f t="shared" si="8"/>
        <v>100362240.00000009</v>
      </c>
      <c r="O18" s="12">
        <f t="shared" si="9"/>
        <v>8342312.1750000073</v>
      </c>
    </row>
    <row r="19" spans="1:16" ht="13" x14ac:dyDescent="0.15">
      <c r="A19" s="6">
        <v>2018</v>
      </c>
      <c r="B19" s="6" t="s">
        <v>41</v>
      </c>
      <c r="C19" s="14" t="s">
        <v>37</v>
      </c>
      <c r="D19" s="6">
        <v>7.8</v>
      </c>
      <c r="E19" s="6">
        <f t="shared" si="10"/>
        <v>2.2999999999999998</v>
      </c>
      <c r="F19" s="6">
        <v>7.8</v>
      </c>
      <c r="G19" s="5">
        <f t="shared" si="11"/>
        <v>64120319.999999993</v>
      </c>
      <c r="H19" s="5">
        <f t="shared" si="2"/>
        <v>479619993.59999996</v>
      </c>
      <c r="I19" s="5">
        <f t="shared" si="3"/>
        <v>7106414.0749999993</v>
      </c>
      <c r="J19" s="5">
        <f t="shared" si="4"/>
        <v>53155977.280999996</v>
      </c>
      <c r="K19" s="5">
        <f t="shared" si="5"/>
        <v>5329810.5562499994</v>
      </c>
      <c r="L19" s="5">
        <f t="shared" si="6"/>
        <v>39866982.960749999</v>
      </c>
      <c r="M19" s="11">
        <f t="shared" si="12"/>
        <v>8.3122020542785807E-2</v>
      </c>
      <c r="N19" s="12">
        <f t="shared" si="8"/>
        <v>1154165759.9999998</v>
      </c>
      <c r="O19" s="12">
        <f t="shared" si="9"/>
        <v>95936590.012499988</v>
      </c>
    </row>
    <row r="20" spans="1:16" ht="13" x14ac:dyDescent="0.15">
      <c r="A20" s="6">
        <v>2018</v>
      </c>
      <c r="B20" s="6" t="s">
        <v>44</v>
      </c>
      <c r="C20" s="13" t="s">
        <v>35</v>
      </c>
      <c r="D20" s="6">
        <v>5.8</v>
      </c>
      <c r="E20" s="6">
        <f t="shared" si="10"/>
        <v>0.29999999999999982</v>
      </c>
      <c r="F20" s="6">
        <v>5.8</v>
      </c>
      <c r="G20" s="5">
        <f t="shared" si="11"/>
        <v>8363519.9999999953</v>
      </c>
      <c r="H20" s="5">
        <f t="shared" si="2"/>
        <v>62559129.599999972</v>
      </c>
      <c r="I20" s="5">
        <f t="shared" si="3"/>
        <v>926923.57499999949</v>
      </c>
      <c r="J20" s="5">
        <f t="shared" si="4"/>
        <v>6933388.3409999963</v>
      </c>
      <c r="K20" s="5">
        <f t="shared" si="5"/>
        <v>695192.68124999967</v>
      </c>
      <c r="L20" s="5">
        <f t="shared" si="6"/>
        <v>5200041.2557499977</v>
      </c>
      <c r="M20" s="11">
        <f t="shared" si="12"/>
        <v>8.3122020542785821E-2</v>
      </c>
      <c r="N20" s="12">
        <f t="shared" si="8"/>
        <v>150543359.99999991</v>
      </c>
      <c r="O20" s="12">
        <f t="shared" si="9"/>
        <v>12513468.262499994</v>
      </c>
    </row>
    <row r="21" spans="1:16" ht="13" x14ac:dyDescent="0.15">
      <c r="A21" s="6">
        <v>2018</v>
      </c>
      <c r="B21" s="6" t="s">
        <v>44</v>
      </c>
      <c r="C21" s="13" t="s">
        <v>35</v>
      </c>
      <c r="D21" s="6">
        <v>5.6</v>
      </c>
      <c r="E21" s="6">
        <f t="shared" si="10"/>
        <v>9.9999999999999645E-2</v>
      </c>
      <c r="F21" s="6">
        <v>5.6</v>
      </c>
      <c r="G21" s="5">
        <f t="shared" si="11"/>
        <v>2787839.9999999902</v>
      </c>
      <c r="H21" s="5">
        <f t="shared" si="2"/>
        <v>20853043.199999928</v>
      </c>
      <c r="I21" s="5">
        <f t="shared" si="3"/>
        <v>308974.52499999892</v>
      </c>
      <c r="J21" s="5">
        <f t="shared" si="4"/>
        <v>2311129.4469999922</v>
      </c>
      <c r="K21" s="5">
        <f t="shared" si="5"/>
        <v>231730.89374999917</v>
      </c>
      <c r="L21" s="5">
        <f t="shared" si="6"/>
        <v>1733347.085249994</v>
      </c>
      <c r="M21" s="11">
        <f t="shared" si="12"/>
        <v>8.3122020542785807E-2</v>
      </c>
      <c r="N21" s="12">
        <f t="shared" si="8"/>
        <v>50181119.999999821</v>
      </c>
      <c r="O21" s="12">
        <f t="shared" si="9"/>
        <v>4171156.087499985</v>
      </c>
    </row>
    <row r="22" spans="1:16" ht="13" x14ac:dyDescent="0.15">
      <c r="A22" s="6">
        <v>2018</v>
      </c>
      <c r="B22" s="6" t="s">
        <v>40</v>
      </c>
      <c r="C22" s="13" t="s">
        <v>35</v>
      </c>
      <c r="D22" s="6">
        <v>5.7</v>
      </c>
      <c r="E22" s="6">
        <f t="shared" si="10"/>
        <v>0.20000000000000018</v>
      </c>
      <c r="F22" s="6">
        <v>5.7</v>
      </c>
      <c r="G22" s="5">
        <f t="shared" si="11"/>
        <v>5575680.0000000047</v>
      </c>
      <c r="H22" s="5">
        <f t="shared" si="2"/>
        <v>41706086.400000036</v>
      </c>
      <c r="I22" s="5">
        <f t="shared" si="3"/>
        <v>617949.05000000051</v>
      </c>
      <c r="J22" s="5">
        <f t="shared" si="4"/>
        <v>4622258.894000004</v>
      </c>
      <c r="K22" s="5">
        <f t="shared" si="5"/>
        <v>463461.78750000038</v>
      </c>
      <c r="L22" s="5">
        <f t="shared" si="6"/>
        <v>3466694.1705000033</v>
      </c>
      <c r="M22" s="11">
        <f t="shared" si="12"/>
        <v>8.3122020542785807E-2</v>
      </c>
      <c r="N22" s="12">
        <f t="shared" si="8"/>
        <v>100362240.00000009</v>
      </c>
      <c r="O22" s="12">
        <f t="shared" si="9"/>
        <v>8342312.1750000073</v>
      </c>
    </row>
    <row r="23" spans="1:16" ht="13" x14ac:dyDescent="0.15">
      <c r="A23" s="6">
        <v>2017</v>
      </c>
      <c r="B23" s="6" t="s">
        <v>45</v>
      </c>
      <c r="D23" s="6" t="s">
        <v>46</v>
      </c>
      <c r="F23" s="6" t="s">
        <v>46</v>
      </c>
      <c r="G23" s="5"/>
      <c r="H23" s="5">
        <f t="shared" si="2"/>
        <v>0</v>
      </c>
      <c r="I23" s="5">
        <f t="shared" si="3"/>
        <v>0</v>
      </c>
      <c r="J23" s="5">
        <f t="shared" si="4"/>
        <v>0</v>
      </c>
      <c r="K23" s="5">
        <f t="shared" si="5"/>
        <v>0</v>
      </c>
      <c r="L23" s="5">
        <f t="shared" si="6"/>
        <v>0</v>
      </c>
      <c r="M23" s="11"/>
      <c r="N23" s="12">
        <f t="shared" si="8"/>
        <v>0</v>
      </c>
      <c r="O23" s="12">
        <f t="shared" si="9"/>
        <v>0</v>
      </c>
    </row>
    <row r="24" spans="1:16" ht="13" x14ac:dyDescent="0.15">
      <c r="A24" s="6">
        <v>2016</v>
      </c>
      <c r="B24" s="6" t="s">
        <v>38</v>
      </c>
      <c r="C24" s="13" t="s">
        <v>35</v>
      </c>
      <c r="D24" s="6">
        <v>5.6</v>
      </c>
      <c r="E24" s="6">
        <f t="shared" ref="E24:E29" si="13">F24-5.5</f>
        <v>9.9999999999999645E-2</v>
      </c>
      <c r="F24" s="6">
        <v>5.6</v>
      </c>
      <c r="G24" s="5">
        <f t="shared" ref="G24:G29" si="14">E24*27878400</f>
        <v>2787839.9999999902</v>
      </c>
      <c r="H24" s="5">
        <f t="shared" si="2"/>
        <v>20853043.199999928</v>
      </c>
      <c r="I24" s="5">
        <f t="shared" si="3"/>
        <v>308974.52499999892</v>
      </c>
      <c r="J24" s="5">
        <f t="shared" si="4"/>
        <v>2311129.4469999922</v>
      </c>
      <c r="K24" s="5">
        <f t="shared" si="5"/>
        <v>231730.89374999917</v>
      </c>
      <c r="L24" s="5">
        <f t="shared" si="6"/>
        <v>1733347.085249994</v>
      </c>
      <c r="M24" s="11">
        <f t="shared" ref="M24:M29" si="15">K24/G24</f>
        <v>8.3122020542785807E-2</v>
      </c>
      <c r="N24" s="12">
        <f t="shared" si="8"/>
        <v>50181119.999999821</v>
      </c>
      <c r="O24" s="12">
        <f t="shared" si="9"/>
        <v>4171156.087499985</v>
      </c>
    </row>
    <row r="25" spans="1:16" ht="13" x14ac:dyDescent="0.15">
      <c r="A25" s="6">
        <v>2015</v>
      </c>
      <c r="B25" s="6" t="s">
        <v>33</v>
      </c>
      <c r="C25" s="13" t="s">
        <v>35</v>
      </c>
      <c r="D25" s="6">
        <v>5.8</v>
      </c>
      <c r="E25" s="6">
        <f t="shared" si="13"/>
        <v>0.29999999999999982</v>
      </c>
      <c r="F25" s="6">
        <v>5.8</v>
      </c>
      <c r="G25" s="5">
        <f t="shared" si="14"/>
        <v>8363519.9999999953</v>
      </c>
      <c r="H25" s="5">
        <f t="shared" si="2"/>
        <v>62559129.599999972</v>
      </c>
      <c r="I25" s="5">
        <f t="shared" si="3"/>
        <v>926923.57499999949</v>
      </c>
      <c r="J25" s="5">
        <f t="shared" si="4"/>
        <v>6933388.3409999963</v>
      </c>
      <c r="K25" s="5">
        <f t="shared" si="5"/>
        <v>695192.68124999967</v>
      </c>
      <c r="L25" s="5">
        <f t="shared" si="6"/>
        <v>5200041.2557499977</v>
      </c>
      <c r="M25" s="11">
        <f t="shared" si="15"/>
        <v>8.3122020542785821E-2</v>
      </c>
      <c r="N25" s="12">
        <f t="shared" si="8"/>
        <v>150543359.99999991</v>
      </c>
      <c r="O25" s="12">
        <f t="shared" si="9"/>
        <v>12513468.262499994</v>
      </c>
    </row>
    <row r="26" spans="1:16" ht="13" x14ac:dyDescent="0.15">
      <c r="A26" s="6">
        <v>2014</v>
      </c>
      <c r="B26" s="6" t="s">
        <v>41</v>
      </c>
      <c r="C26" s="13" t="s">
        <v>35</v>
      </c>
      <c r="D26" s="6">
        <v>6.2</v>
      </c>
      <c r="E26" s="6">
        <f t="shared" si="13"/>
        <v>0.70000000000000018</v>
      </c>
      <c r="F26" s="6">
        <v>6.2</v>
      </c>
      <c r="G26" s="5">
        <f t="shared" si="14"/>
        <v>19514880.000000004</v>
      </c>
      <c r="H26" s="5">
        <f t="shared" si="2"/>
        <v>145971302.40000004</v>
      </c>
      <c r="I26" s="5">
        <f t="shared" si="3"/>
        <v>2162821.6750000007</v>
      </c>
      <c r="J26" s="5">
        <f t="shared" si="4"/>
        <v>16177906.129000006</v>
      </c>
      <c r="K26" s="5">
        <f t="shared" si="5"/>
        <v>1622116.2562500006</v>
      </c>
      <c r="L26" s="5">
        <f t="shared" si="6"/>
        <v>12133429.596750004</v>
      </c>
      <c r="M26" s="11">
        <f t="shared" si="15"/>
        <v>8.3122020542785821E-2</v>
      </c>
      <c r="N26" s="12">
        <f t="shared" si="8"/>
        <v>351267840.00000006</v>
      </c>
      <c r="O26" s="12">
        <f t="shared" si="9"/>
        <v>29198092.612500012</v>
      </c>
    </row>
    <row r="27" spans="1:16" ht="13" x14ac:dyDescent="0.15">
      <c r="A27" s="6">
        <v>2014</v>
      </c>
      <c r="B27" s="6" t="s">
        <v>47</v>
      </c>
      <c r="C27" s="14" t="s">
        <v>37</v>
      </c>
      <c r="D27" s="6">
        <v>7</v>
      </c>
      <c r="E27" s="6">
        <f t="shared" si="13"/>
        <v>1.5</v>
      </c>
      <c r="F27" s="6">
        <v>7</v>
      </c>
      <c r="G27" s="5">
        <f t="shared" si="14"/>
        <v>41817600</v>
      </c>
      <c r="H27" s="5">
        <f t="shared" si="2"/>
        <v>312795648</v>
      </c>
      <c r="I27" s="5">
        <f t="shared" si="3"/>
        <v>4634617.875</v>
      </c>
      <c r="J27" s="5">
        <f t="shared" si="4"/>
        <v>34666941.705000006</v>
      </c>
      <c r="K27" s="5">
        <f t="shared" si="5"/>
        <v>3475963.40625</v>
      </c>
      <c r="L27" s="5">
        <f t="shared" si="6"/>
        <v>26000206.278750002</v>
      </c>
      <c r="M27" s="11">
        <f t="shared" si="15"/>
        <v>8.3122020542785807E-2</v>
      </c>
      <c r="N27" s="12">
        <f t="shared" si="8"/>
        <v>752716800</v>
      </c>
      <c r="O27" s="12">
        <f t="shared" si="9"/>
        <v>62567341.3125</v>
      </c>
    </row>
    <row r="28" spans="1:16" ht="13" x14ac:dyDescent="0.15">
      <c r="A28" s="6">
        <v>2014</v>
      </c>
      <c r="B28" s="6" t="s">
        <v>48</v>
      </c>
      <c r="C28" s="13" t="s">
        <v>35</v>
      </c>
      <c r="D28" s="6">
        <v>6</v>
      </c>
      <c r="E28" s="6">
        <f t="shared" si="13"/>
        <v>0.5</v>
      </c>
      <c r="F28" s="6">
        <v>6</v>
      </c>
      <c r="G28" s="5">
        <f t="shared" si="14"/>
        <v>13939200</v>
      </c>
      <c r="H28" s="5">
        <f t="shared" si="2"/>
        <v>104265216</v>
      </c>
      <c r="I28" s="5">
        <f t="shared" si="3"/>
        <v>1544872.625</v>
      </c>
      <c r="J28" s="5">
        <f t="shared" si="4"/>
        <v>11555647.235000001</v>
      </c>
      <c r="K28" s="5">
        <f t="shared" si="5"/>
        <v>1158654.46875</v>
      </c>
      <c r="L28" s="5">
        <f t="shared" si="6"/>
        <v>8666735.4262500014</v>
      </c>
      <c r="M28" s="11">
        <f t="shared" si="15"/>
        <v>8.3122020542785807E-2</v>
      </c>
      <c r="N28" s="12">
        <f t="shared" si="8"/>
        <v>250905600</v>
      </c>
      <c r="O28" s="12">
        <f t="shared" si="9"/>
        <v>20855780.4375</v>
      </c>
    </row>
    <row r="29" spans="1:16" ht="13" x14ac:dyDescent="0.15">
      <c r="A29" s="17">
        <v>2014</v>
      </c>
      <c r="B29" s="17" t="s">
        <v>44</v>
      </c>
      <c r="C29" s="18" t="s">
        <v>35</v>
      </c>
      <c r="D29" s="17">
        <v>5.6</v>
      </c>
      <c r="E29" s="17">
        <f t="shared" si="13"/>
        <v>9.9999999999999645E-2</v>
      </c>
      <c r="F29" s="17">
        <v>5.6</v>
      </c>
      <c r="G29" s="19">
        <f t="shared" si="14"/>
        <v>2787839.9999999902</v>
      </c>
      <c r="H29" s="19">
        <f t="shared" si="2"/>
        <v>20853043.199999928</v>
      </c>
      <c r="I29" s="19">
        <f t="shared" si="3"/>
        <v>308974.52499999892</v>
      </c>
      <c r="J29" s="19">
        <f t="shared" si="4"/>
        <v>2311129.4469999922</v>
      </c>
      <c r="K29" s="19">
        <f t="shared" si="5"/>
        <v>231730.89374999917</v>
      </c>
      <c r="L29" s="19">
        <f t="shared" si="6"/>
        <v>1733347.085249994</v>
      </c>
      <c r="M29" s="20">
        <f t="shared" si="15"/>
        <v>8.3122020542785807E-2</v>
      </c>
      <c r="N29" s="21">
        <f t="shared" si="8"/>
        <v>50181119.999999821</v>
      </c>
      <c r="O29" s="21">
        <f t="shared" si="9"/>
        <v>4171156.087499985</v>
      </c>
      <c r="P29" s="17"/>
    </row>
    <row r="30" spans="1:16" ht="13" x14ac:dyDescent="0.15">
      <c r="G30" s="5">
        <f>SUM(G2:G29)</f>
        <v>1025925120</v>
      </c>
      <c r="H30" s="5">
        <f>SUM(H3:H29)</f>
        <v>6714679910.3999996</v>
      </c>
      <c r="I30" s="5">
        <f>SUM(I2:I29)</f>
        <v>113702625.20000002</v>
      </c>
      <c r="K30" s="5">
        <f t="shared" si="5"/>
        <v>85276968.900000006</v>
      </c>
      <c r="L30" s="5">
        <f t="shared" si="6"/>
        <v>637871727.3720001</v>
      </c>
      <c r="N30" s="5">
        <f t="shared" ref="N30:O30" si="16">SUM(N2:N29)</f>
        <v>18466652160</v>
      </c>
      <c r="O30" s="12">
        <f t="shared" si="16"/>
        <v>1534985440.2000003</v>
      </c>
      <c r="P30" s="11">
        <f>O30/N30</f>
        <v>8.3122020542785835E-2</v>
      </c>
    </row>
    <row r="33" spans="1:4" ht="13" x14ac:dyDescent="0.15">
      <c r="A33" s="26" t="s">
        <v>49</v>
      </c>
      <c r="B33" s="27"/>
      <c r="C33" s="27"/>
    </row>
    <row r="35" spans="1:4" ht="13" x14ac:dyDescent="0.15">
      <c r="A35" s="28" t="s">
        <v>50</v>
      </c>
      <c r="B35" s="27"/>
      <c r="C35" s="5">
        <v>27878400</v>
      </c>
      <c r="D35" s="22" t="s">
        <v>51</v>
      </c>
    </row>
    <row r="36" spans="1:4" ht="13" x14ac:dyDescent="0.15">
      <c r="A36" s="6" t="s">
        <v>52</v>
      </c>
      <c r="C36" s="5">
        <v>3089745.25</v>
      </c>
      <c r="D36" s="22" t="s">
        <v>51</v>
      </c>
    </row>
    <row r="61" spans="7:7" ht="13" x14ac:dyDescent="0.15">
      <c r="G61" s="5"/>
    </row>
  </sheetData>
  <mergeCells count="2">
    <mergeCell ref="A33:C33"/>
    <mergeCell ref="A35:B35"/>
  </mergeCells>
  <conditionalFormatting sqref="A2:A29">
    <cfRule type="colorScale" priority="4">
      <colorScale>
        <cfvo type="min"/>
        <cfvo type="max"/>
        <color rgb="FFFFFFFF"/>
        <color rgb="FF57BB8A"/>
      </colorScale>
    </cfRule>
  </conditionalFormatting>
  <conditionalFormatting sqref="D2:D29">
    <cfRule type="cellIs" dxfId="2" priority="3" operator="between">
      <formula>7</formula>
      <formula>5.5</formula>
    </cfRule>
  </conditionalFormatting>
  <conditionalFormatting sqref="E2:E29">
    <cfRule type="colorScale" priority="6">
      <colorScale>
        <cfvo type="min"/>
        <cfvo type="max"/>
        <color rgb="FFE06666"/>
        <color rgb="FFF4DBDB"/>
      </colorScale>
    </cfRule>
  </conditionalFormatting>
  <conditionalFormatting sqref="F1 D1:D1015">
    <cfRule type="cellIs" dxfId="1" priority="1" operator="greaterThanOrEqual">
      <formula>8</formula>
    </cfRule>
    <cfRule type="cellIs" dxfId="0" priority="2" operator="between">
      <formula>8</formula>
      <formula>7</formula>
    </cfRule>
  </conditionalFormatting>
  <conditionalFormatting sqref="F2:F29">
    <cfRule type="colorScale" priority="5">
      <colorScale>
        <cfvo type="min"/>
        <cfvo type="max"/>
        <color rgb="FFF4DBDB"/>
        <color rgb="FFFF0000"/>
      </colorScale>
    </cfRule>
  </conditionalFormatting>
  <printOptions horizontalCentered="1" gridLines="1"/>
  <pageMargins left="0.7" right="0.7" top="0.75" bottom="0.75" header="0" footer="0"/>
  <pageSetup fitToWidth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E6"/>
  <sheetViews>
    <sheetView workbookViewId="0"/>
  </sheetViews>
  <sheetFormatPr baseColWidth="10" defaultColWidth="12.6640625" defaultRowHeight="15.75" customHeight="1" x14ac:dyDescent="0.15"/>
  <cols>
    <col min="1" max="1" width="15.33203125" customWidth="1"/>
    <col min="2" max="2" width="28.1640625" customWidth="1"/>
    <col min="3" max="3" width="14.1640625" customWidth="1"/>
    <col min="5" max="5" width="14.5" customWidth="1"/>
  </cols>
  <sheetData>
    <row r="1" spans="1:5" ht="15.75" customHeight="1" x14ac:dyDescent="0.15">
      <c r="A1" s="23" t="s">
        <v>53</v>
      </c>
      <c r="B1" s="23" t="s">
        <v>54</v>
      </c>
      <c r="C1" s="6" t="s">
        <v>55</v>
      </c>
      <c r="D1" s="6" t="s">
        <v>56</v>
      </c>
      <c r="E1" s="6" t="s">
        <v>18</v>
      </c>
    </row>
    <row r="2" spans="1:5" ht="15.75" customHeight="1" x14ac:dyDescent="0.15">
      <c r="A2" s="24">
        <v>25969</v>
      </c>
      <c r="B2" s="25">
        <v>0.78259999999999996</v>
      </c>
      <c r="C2" s="6">
        <v>100</v>
      </c>
      <c r="D2" s="6">
        <v>10</v>
      </c>
      <c r="E2" s="12">
        <f>((A2*B2)*C2)*D2</f>
        <v>20323339.400000002</v>
      </c>
    </row>
    <row r="4" spans="1:5" ht="15.75" customHeight="1" x14ac:dyDescent="0.15">
      <c r="A4" s="6" t="s">
        <v>57</v>
      </c>
      <c r="B4" s="6" t="s">
        <v>58</v>
      </c>
      <c r="C4" s="6" t="s">
        <v>59</v>
      </c>
    </row>
    <row r="5" spans="1:5" ht="15.75" customHeight="1" x14ac:dyDescent="0.15">
      <c r="A5" s="12">
        <v>37076943</v>
      </c>
      <c r="B5" s="12">
        <v>20323339.400000002</v>
      </c>
      <c r="C5" s="11">
        <f>B5/A5</f>
        <v>0.54813956479637505</v>
      </c>
    </row>
    <row r="6" spans="1:5" ht="15.75" customHeight="1" x14ac:dyDescent="0.15">
      <c r="E6" s="12"/>
    </row>
  </sheetData>
  <printOptions horizontalCentered="1" gridLines="1"/>
  <pageMargins left="0.7" right="0.7" top="0.75" bottom="0.75" header="0" footer="0"/>
  <pageSetup fitToWidth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of replacement </vt:lpstr>
      <vt:lpstr>flood calculations</vt:lpstr>
      <vt:lpstr>payment covered by citizens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Antonio De la paz Mateo</cp:lastModifiedBy>
  <dcterms:modified xsi:type="dcterms:W3CDTF">2025-11-29T02:41:46Z</dcterms:modified>
</cp:coreProperties>
</file>